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EN\Downloads\"/>
    </mc:Choice>
  </mc:AlternateContent>
  <xr:revisionPtr revIDLastSave="0" documentId="13_ncr:9_{61A6E57B-21EB-4D72-9898-266CCC6993A1}" xr6:coauthVersionLast="47" xr6:coauthVersionMax="47" xr10:uidLastSave="{00000000-0000-0000-0000-000000000000}"/>
  <bookViews>
    <workbookView xWindow="-108" yWindow="-108" windowWidth="23256" windowHeight="14616" xr2:uid="{E9DF47F3-F52F-4EF4-8ABF-0F6287806BAB}"/>
  </bookViews>
  <sheets>
    <sheet name="StudentsPerformance" sheetId="1" r:id="rId1"/>
  </sheets>
  <calcPr calcId="0"/>
</workbook>
</file>

<file path=xl/calcChain.xml><?xml version="1.0" encoding="utf-8"?>
<calcChain xmlns="http://schemas.openxmlformats.org/spreadsheetml/2006/main">
  <c r="M29" i="1" l="1"/>
  <c r="L29" i="1"/>
  <c r="L28" i="1"/>
  <c r="L27" i="1"/>
  <c r="N25" i="1" a="1"/>
  <c r="N25" i="1" s="1"/>
  <c r="N24" i="1" a="1"/>
  <c r="N24" i="1" s="1"/>
  <c r="L25" i="1"/>
  <c r="L24" i="1"/>
  <c r="M25" i="1"/>
  <c r="M24" i="1"/>
  <c r="M20" i="1"/>
  <c r="L20" i="1"/>
  <c r="L19" i="1"/>
  <c r="L18" i="1"/>
  <c r="L17" i="1"/>
  <c r="L16" i="1"/>
  <c r="M13" i="1"/>
  <c r="L13" i="1"/>
  <c r="L12" i="1"/>
  <c r="L11" i="1"/>
  <c r="L10" i="1"/>
  <c r="L3" i="1"/>
  <c r="L5" i="1" s="1"/>
  <c r="L9" i="1"/>
  <c r="L4" i="1"/>
  <c r="L2" i="1"/>
  <c r="M6" i="1" l="1"/>
  <c r="L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<sst xmlns="http://schemas.openxmlformats.org/spreadsheetml/2006/main" count="5035" uniqueCount="42">
  <si>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</si>
  <si>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</si>
  <si>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</si>
  <si>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</si>
  <si>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</si>
  <si>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</si>
  <si>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</si>
  <si>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</si>
  <si>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</si>
  <si>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</si>
  <si>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</si>
  <si>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</si>
  <si>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</si>
  <si>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</si>
  <si>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</si>
  <si>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</si>
  <si>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</si>
  <si>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</si>
  <si>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</si>
  <si>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</si>
  <si>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</si>
  <si>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</si>
  <si>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</si>
  <si>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</si>
  <si>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</si>
  <si>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 xml:space="preserve">a, </t>
  </si>
  <si>
    <t>s</t>
  </si>
  <si>
    <t>epsilon</t>
  </si>
  <si>
    <t>z_0.025</t>
  </si>
  <si>
    <t>ktc</t>
  </si>
  <si>
    <t>b,</t>
  </si>
  <si>
    <t>s^2</t>
  </si>
  <si>
    <t>χ² phải</t>
  </si>
  <si>
    <t>χ² trái</t>
  </si>
  <si>
    <t>c,</t>
  </si>
  <si>
    <t>số nữ</t>
  </si>
  <si>
    <t>p^</t>
  </si>
  <si>
    <t>d,</t>
  </si>
  <si>
    <t>n</t>
  </si>
  <si>
    <t>x̄</t>
  </si>
  <si>
    <t>Nữ (1)</t>
  </si>
  <si>
    <t>Nam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</si>
</sst>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Font="1" applyAlignment="1">
      <alignment horizontal="center" vertical="center" wrapText="1"/>
    </xf>
    <xf numFmtId="3" fontId="0" fillId="0" borderId="0" xfId="0" applyNumberFormat="1" applyFont="1" applyAlignment="1">
      <alignment vertical="center" wrapText="1"/>
    </xf>
    <xf numFmtId="169" fontId="0" fillId="0" borderId="0" xfId="0" applyNumberFormat="1" applyFont="1" applyAlignment="1">
      <alignment horizontal="center" vertical="center" wrapText="1"/>
    </xf>
    <xf numFmtId="169" fontId="0" fillId="0" borderId="0" xfId="0" applyNumberFormat="1" applyFont="1" applyAlignment="1">
      <alignment vertical="center" wrapText="1"/>
    </xf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616E2-CDBB-4C28-BFA6-43E0A74D7BEC}">
  <dimension ref="A1:O1001"/>
  <sheetViews>
    <sheetView tabSelected="1" workbookViewId="0">
      <selection activeCell="O11" sqref="O11"/>
    </sheetView>
  </sheetViews>
  <sheetFormatPr defaultRowHeight="14.4" x14ac:dyDescent="0.3"/>
  <cols>
    <col min="2" max="2" width="14.21875" customWidth="1"/>
    <col min="3" max="3" width="21.109375" customWidth="1"/>
    <col min="4" max="4" width="18.21875" customWidth="1"/>
    <col min="5" max="5" width="22.21875" customWidth="1"/>
    <col min="6" max="6" width="12.6640625" customWidth="1"/>
    <col min="7" max="7" width="13.6640625" customWidth="1"/>
    <col min="8" max="8" width="14.44140625" customWidth="1"/>
    <col min="13" max="13" width="11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25</v>
      </c>
    </row>
    <row r="2" spans="1:13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  <c r="K2" t="s">
        <v>39</v>
      </c>
      <c r="L2">
        <f>AVERAGE(F1:F1001)</f>
        <v>66.088999999999999</v>
      </c>
    </row>
    <row r="3" spans="1:13" x14ac:dyDescent="0.3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  <c r="K3" t="s">
        <v>26</v>
      </c>
      <c r="L3">
        <f>_xlfn.STDEV.S(F2:F1001)</f>
        <v>15.163080096009448</v>
      </c>
    </row>
    <row r="4" spans="1:13" x14ac:dyDescent="0.3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  <c r="K4" t="s">
        <v>28</v>
      </c>
      <c r="L4">
        <f>_xlfn.NORM.S.INV(0.975)</f>
        <v>1.9599639845400536</v>
      </c>
    </row>
    <row r="5" spans="1:13" x14ac:dyDescent="0.3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  <c r="K5" t="s">
        <v>27</v>
      </c>
      <c r="L5">
        <f>L4*L3/SQRT(1000)</f>
        <v>0.93980017179428288</v>
      </c>
    </row>
    <row r="6" spans="1:13" x14ac:dyDescent="0.3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  <c r="K6" t="s">
        <v>29</v>
      </c>
      <c r="L6">
        <f>L2-L5</f>
        <v>65.14919982820571</v>
      </c>
      <c r="M6">
        <f>L2+L5</f>
        <v>67.028800171794288</v>
      </c>
    </row>
    <row r="7" spans="1:13" x14ac:dyDescent="0.3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13" x14ac:dyDescent="0.3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  <c r="K8" t="s">
        <v>30</v>
      </c>
    </row>
    <row r="9" spans="1:13" x14ac:dyDescent="0.3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  <c r="K9" t="s">
        <v>39</v>
      </c>
      <c r="L9">
        <f>AVERAGE(G2:G1001)</f>
        <v>69.168999999999997</v>
      </c>
    </row>
    <row r="10" spans="1:13" x14ac:dyDescent="0.3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  <c r="K10" t="s">
        <v>31</v>
      </c>
      <c r="L10">
        <f>_xlfn.STDEV.S(G2:G1001)^2</f>
        <v>213.16560460460488</v>
      </c>
    </row>
    <row r="11" spans="1:13" x14ac:dyDescent="0.3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  <c r="K11" t="s">
        <v>32</v>
      </c>
      <c r="L11">
        <f>_xlfn.CHISQ.INV.RT(0.025,999)</f>
        <v>1088.4870677259353</v>
      </c>
    </row>
    <row r="12" spans="1:13" x14ac:dyDescent="0.3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  <c r="K12" t="s">
        <v>33</v>
      </c>
      <c r="L12">
        <f>_xlfn.CHISQ.INV.RT(0.975,999)</f>
        <v>913.30099830211338</v>
      </c>
    </row>
    <row r="13" spans="1:13" x14ac:dyDescent="0.3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  <c r="K13" t="s">
        <v>29</v>
      </c>
      <c r="L13">
        <f>999*L10/L11</f>
        <v>195.64076167197837</v>
      </c>
      <c r="M13">
        <f>999*L10/L12</f>
        <v>233.16785966060792</v>
      </c>
    </row>
    <row r="14" spans="1:13" x14ac:dyDescent="0.3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13" x14ac:dyDescent="0.3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  <c r="K15" t="s">
        <v>34</v>
      </c>
    </row>
    <row r="16" spans="1:13" x14ac:dyDescent="0.3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  <c r="K16" t="s">
        <v>35</v>
      </c>
      <c r="L16">
        <f>COUNTIF(A2:A1001,"female")</f>
        <v>518</v>
      </c>
    </row>
    <row r="17" spans="1:15" x14ac:dyDescent="0.3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  <c r="K17" t="s">
        <v>36</v>
      </c>
      <c r="L17">
        <f>COUNTIF(A2:A1001,"female")/COUNTA(A2:A1001)</f>
        <v>0.51800000000000002</v>
      </c>
    </row>
    <row r="18" spans="1:15" x14ac:dyDescent="0.3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  <c r="K18" t="s">
        <v>28</v>
      </c>
      <c r="L18">
        <f>_xlfn.NORM.S.INV(0.975)</f>
        <v>1.9599639845400536</v>
      </c>
    </row>
    <row r="19" spans="1:15" x14ac:dyDescent="0.3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  <c r="K19" t="s">
        <v>27</v>
      </c>
      <c r="L19">
        <f>L18*SQRT(L17*(1-L17)/1000)</f>
        <v>3.0969663745601533E-2</v>
      </c>
    </row>
    <row r="20" spans="1:15" x14ac:dyDescent="0.3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  <c r="K20" t="s">
        <v>29</v>
      </c>
      <c r="L20">
        <f>L17-L19</f>
        <v>0.48703033625439851</v>
      </c>
      <c r="M20">
        <f>L17+L19</f>
        <v>0.54896966374560152</v>
      </c>
    </row>
    <row r="21" spans="1:15" x14ac:dyDescent="0.3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15" x14ac:dyDescent="0.3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  <c r="K22" t="s">
        <v>37</v>
      </c>
    </row>
    <row r="23" spans="1:15" x14ac:dyDescent="0.3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  <c r="K23" s="3"/>
      <c r="L23" s="3" t="s">
        <v>38</v>
      </c>
      <c r="M23" s="3" t="s">
        <v>39</v>
      </c>
      <c r="N23" s="3" t="s">
        <v>31</v>
      </c>
      <c r="O23" s="1"/>
    </row>
    <row r="24" spans="1:15" x14ac:dyDescent="0.3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  <c r="K24" s="4" t="s">
        <v>40</v>
      </c>
      <c r="L24" s="4">
        <f>COUNTIF(A2:A1001,"female")</f>
        <v>518</v>
      </c>
      <c r="M24" s="4">
        <f>AVERAGEIF(A2:A1001,"female",H2:H1001)</f>
        <v>72.467181467181462</v>
      </c>
      <c r="N24" s="4" cm="1">
        <f t="array" ref="N24">_xlfn.VAR.S(IF(A2:A1001="female",H2:H1001))</f>
        <v>220.36932705017799</v>
      </c>
      <c r="O24" s="2"/>
    </row>
    <row r="25" spans="1:15" x14ac:dyDescent="0.3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  <c r="K25" s="4" t="s">
        <v>41</v>
      </c>
      <c r="L25" s="4">
        <f>COUNTIF(A2:A1001,"male")</f>
        <v>482</v>
      </c>
      <c r="M25" s="4">
        <f>AVERAGEIF(A2:A1001,"male",H2:H1001)</f>
        <v>63.311203319502077</v>
      </c>
      <c r="N25" s="4" cm="1">
        <f t="array" ref="N25">_xlfn.VAR.S(IF(A2:A1001="male",H2:H1001))</f>
        <v>199.20024844506182</v>
      </c>
      <c r="O25" s="2"/>
    </row>
    <row r="26" spans="1:15" x14ac:dyDescent="0.3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15" x14ac:dyDescent="0.3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  <c r="K27" t="s">
        <v>28</v>
      </c>
      <c r="L27">
        <f>_xlfn.NORM.S.INV(0.975)</f>
        <v>1.9599639845400536</v>
      </c>
    </row>
    <row r="28" spans="1:15" x14ac:dyDescent="0.3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  <c r="K28" t="s">
        <v>27</v>
      </c>
      <c r="L28">
        <f>L27*SQRT(N24/L24+N25/L25)</f>
        <v>1.794948173705226</v>
      </c>
    </row>
    <row r="29" spans="1:15" x14ac:dyDescent="0.3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  <c r="K29" t="s">
        <v>29</v>
      </c>
      <c r="L29" s="5">
        <f>M24-M25-L28</f>
        <v>7.3610299739741585</v>
      </c>
      <c r="M29" s="5">
        <f>M24-M25+L28</f>
        <v>10.95092632138461</v>
      </c>
    </row>
    <row r="30" spans="1:15" x14ac:dyDescent="0.3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15" x14ac:dyDescent="0.3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15" x14ac:dyDescent="0.3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3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3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3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3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3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3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3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3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3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3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3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3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3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3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3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3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3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3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3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3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3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3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3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3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3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3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3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3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3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3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3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3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3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3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3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3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3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3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3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3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3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3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3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3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3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3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3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3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3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3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3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3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3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3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3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3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3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3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3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3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3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3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3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3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3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3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3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3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3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3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3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3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3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3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3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3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3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3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3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3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3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3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3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3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3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3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3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3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3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3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3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3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3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3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3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3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3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3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3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3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3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3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3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3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3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3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3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3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3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3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3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3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3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3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3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3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3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3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3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3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3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3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3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3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3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3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3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3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3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3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3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3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3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3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3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3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3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3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3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3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3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3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3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3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3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3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3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3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3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3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3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3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3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3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3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3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3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3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3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3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3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3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3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3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3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3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3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3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3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3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3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3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3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3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3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3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3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3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3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3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3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3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3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3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3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3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3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3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3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3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3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3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3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3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3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3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3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3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3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3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3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3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3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3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3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3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3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3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3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3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3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3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3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3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3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3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3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3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3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3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3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3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3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3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3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3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3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3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3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3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3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3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3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3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3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3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3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3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3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3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3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3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3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3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3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3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3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3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3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3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3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3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3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3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3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3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3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3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3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3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3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3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3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3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3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3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3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3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3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3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3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3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3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3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3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3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3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3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3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3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3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3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3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3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3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3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3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3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3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3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3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3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3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3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3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3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3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3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3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3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3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3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3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3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3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3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3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3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3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3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3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3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3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3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3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3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3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3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3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3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3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3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3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3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3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3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3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3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3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3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3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3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3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3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3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3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3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3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3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3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3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3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3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3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3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3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3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3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3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3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3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3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3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3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3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3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3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3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3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3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3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3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3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3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3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3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3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3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3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3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3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3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3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3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3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3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3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3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3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3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3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3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3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3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3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3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3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3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3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3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3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3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3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3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3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3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3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3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3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3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3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3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3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3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3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3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3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3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3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3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3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3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3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3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3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3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3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3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3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3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3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3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3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3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3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3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3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3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3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3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3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3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3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3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3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3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3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3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3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3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3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3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3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3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3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3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3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3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3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3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3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3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3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3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3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3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3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3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3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3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3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3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3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3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3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3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3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3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3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3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3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3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3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3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3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3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3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3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3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3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3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3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3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3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3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3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3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3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3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3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3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3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3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3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3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3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3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3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3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3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3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3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3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3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3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3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3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3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3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3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3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3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3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3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3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3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3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3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3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3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3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3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3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3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3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3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3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3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3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3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3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3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3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3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3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3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3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3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3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3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3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3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3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3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3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3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3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3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3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3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3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3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3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3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3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3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3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3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3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3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3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3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3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3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3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3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3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3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3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3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3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3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3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3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3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3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3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3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3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3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3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3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3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3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3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3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3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3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3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3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3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3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3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3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3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3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3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3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3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3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3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3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3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3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3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3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3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3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3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3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3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3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3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3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3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3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3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3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3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3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3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3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3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3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3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3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3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3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3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3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3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3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3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3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3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3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3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3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3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3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3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3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3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3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3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3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3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3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3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3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3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3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3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3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3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3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3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3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3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3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3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3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3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3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3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3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3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3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3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3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3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3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3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3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3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3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3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3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3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3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3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3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3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3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3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3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3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3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3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3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3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3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3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3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3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3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3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3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3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3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3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3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3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3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3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3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3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3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3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3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3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3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3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3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3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3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3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3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3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3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3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3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3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3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3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3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3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3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3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3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3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3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3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3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3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3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3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3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3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3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3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3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3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3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3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3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3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3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3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3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3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3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3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3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3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3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3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3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3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3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3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3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3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3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3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3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3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3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3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3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3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3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3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3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3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3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3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3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3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3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3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3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3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3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3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3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3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3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3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3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3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3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3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3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3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3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3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3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3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3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3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3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3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3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3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3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3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3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3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3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3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3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3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3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3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3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3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3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3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3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3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3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3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3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3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3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3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3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3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3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3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3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3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3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3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3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3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3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3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3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3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3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3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3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3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3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3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3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3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3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3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3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3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3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3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3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3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3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3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3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3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3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3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3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3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3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3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3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3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3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3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3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3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3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3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3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3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3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3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3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3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3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3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3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3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3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3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3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3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3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3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3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3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3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3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3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3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3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3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3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3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3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3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3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3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3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3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3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3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3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3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3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3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3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3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3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3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3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3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3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3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3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3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3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3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3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3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3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3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3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3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3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3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3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3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3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3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3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3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3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3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3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3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3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3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3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3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3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3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3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3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3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3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3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3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3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3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3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3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3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3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3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3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3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3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3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3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3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3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</dc:creator>
  <cp:lastModifiedBy>Nguyen Huu Kien 202419072</cp:lastModifiedBy>
  <dcterms:created xsi:type="dcterms:W3CDTF">2026-10-09T07:16:32Z</dcterms:created>
  <dcterms:modified xsi:type="dcterms:W3CDTF">2026-10-09T07:42:08Z</dcterms:modified>
</cp:coreProperties>
</file>